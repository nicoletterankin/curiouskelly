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cenarios" sheetId="2" state="visible" r:id="rId4"/>
    <sheet name="Capital" sheetId="3" state="visible" r:id="rId5"/>
    <sheet name="Operating" sheetId="4" state="visible" r:id="rId6"/>
    <sheet name="Funding" sheetId="5" state="visible" r:id="rId7"/>
    <sheet name="Timelin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<sst xmlns="http://schemas.openxmlformats.org/spreadsheetml/2006/main" count="235" uniqueCount="200">
  <si>
    <t xml:space="preserve">LAGUNA RIDGE ACQUISITION</t>
  </si>
  <si>
    <t xml:space="preserve">Financial Model Summary</t>
  </si>
  <si>
    <t xml:space="preserve">CONFIDENTIAL</t>
  </si>
  <si>
    <t xml:space="preserve">KEY METRICS</t>
  </si>
  <si>
    <t xml:space="preserve">Total Capital Required</t>
  </si>
  <si>
    <t xml:space="preserve">$M</t>
  </si>
  <si>
    <t xml:space="preserve">Annual Operating Cost</t>
  </si>
  <si>
    <t xml:space="preserve">Required Endowment (5% draw)</t>
  </si>
  <si>
    <t xml:space="preserve">Total Raise (incl. endowment)</t>
  </si>
  <si>
    <t xml:space="preserve">Acquisition Cost (Base Case)</t>
  </si>
  <si>
    <t xml:space="preserve">Building Renovation</t>
  </si>
  <si>
    <t xml:space="preserve">Display Infrastructure</t>
  </si>
  <si>
    <t xml:space="preserve">FUNDING STRATEGY</t>
  </si>
  <si>
    <t xml:space="preserve">Foundation Grants</t>
  </si>
  <si>
    <t xml:space="preserve">Corporate Partnership</t>
  </si>
  <si>
    <t xml:space="preserve">Government Grants</t>
  </si>
  <si>
    <t xml:space="preserve">Impact Investment</t>
  </si>
  <si>
    <t xml:space="preserve">Operating Endowment</t>
  </si>
  <si>
    <t xml:space="preserve">TOTAL</t>
  </si>
  <si>
    <t xml:space="preserve">ACQUISITION SCENARIOS</t>
  </si>
  <si>
    <t xml:space="preserve">Scenario</t>
  </si>
  <si>
    <t xml:space="preserve">Acquisition Cost</t>
  </si>
  <si>
    <t xml:space="preserve">Probability</t>
  </si>
  <si>
    <t xml:space="preserve">Weighted Cost</t>
  </si>
  <si>
    <t xml:space="preserve">Notes</t>
  </si>
  <si>
    <t xml:space="preserve">Public Benefit Conveyance</t>
  </si>
  <si>
    <t xml:space="preserve">Best case - requires 501(c)(3)</t>
  </si>
  <si>
    <t xml:space="preserve">Negotiated Below-Market</t>
  </si>
  <si>
    <t xml:space="preserve">Public benefit discount</t>
  </si>
  <si>
    <t xml:space="preserve">Negotiated Market Rate</t>
  </si>
  <si>
    <t xml:space="preserve">Based on failed auctions</t>
  </si>
  <si>
    <t xml:space="preserve">Auction Win</t>
  </si>
  <si>
    <t xml:space="preserve">Would need to outbid Hoag</t>
  </si>
  <si>
    <t xml:space="preserve">Expected Value</t>
  </si>
  <si>
    <t xml:space="preserve">BASE CASE ASSUMPTION</t>
  </si>
  <si>
    <t xml:space="preserve">Using Scenario:</t>
  </si>
  <si>
    <t xml:space="preserve">Acquisition Cost ($M):</t>
  </si>
  <si>
    <t xml:space="preserve">CAPITAL BUDGET</t>
  </si>
  <si>
    <t xml:space="preserve">Category</t>
  </si>
  <si>
    <t xml:space="preserve">Low ($M)</t>
  </si>
  <si>
    <t xml:space="preserve">High ($M)</t>
  </si>
  <si>
    <t xml:space="preserve">ACQUISITION</t>
  </si>
  <si>
    <t xml:space="preserve">Property Purchase</t>
  </si>
  <si>
    <t xml:space="preserve">Per Scenarios sheet</t>
  </si>
  <si>
    <t xml:space="preserve">Due Diligence</t>
  </si>
  <si>
    <t xml:space="preserve">Environmental, structural, legal</t>
  </si>
  <si>
    <t xml:space="preserve">Legal/Transaction</t>
  </si>
  <si>
    <t xml:space="preserve">Attorneys, closing costs</t>
  </si>
  <si>
    <t xml:space="preserve">Acquisition Subtotal</t>
  </si>
  <si>
    <t xml:space="preserve">REMEDIATION &amp; SYSTEMS</t>
  </si>
  <si>
    <t xml:space="preserve">Asbestos Abatement</t>
  </si>
  <si>
    <t xml:space="preserve">Depends on extent</t>
  </si>
  <si>
    <t xml:space="preserve">HVAC Replacement</t>
  </si>
  <si>
    <t xml:space="preserve">Full system</t>
  </si>
  <si>
    <t xml:space="preserve">Electrical Upgrade</t>
  </si>
  <si>
    <t xml:space="preserve">Fire/Life Safety</t>
  </si>
  <si>
    <t xml:space="preserve">Code compliance</t>
  </si>
  <si>
    <t xml:space="preserve">Plumbing</t>
  </si>
  <si>
    <t xml:space="preserve">Elevators</t>
  </si>
  <si>
    <t xml:space="preserve">Modernization</t>
  </si>
  <si>
    <t xml:space="preserve">Roof</t>
  </si>
  <si>
    <t xml:space="preserve">ADA Compliance</t>
  </si>
  <si>
    <t xml:space="preserve">Structural Repairs</t>
  </si>
  <si>
    <t xml:space="preserve">If needed</t>
  </si>
  <si>
    <t xml:space="preserve">Remediation Subtotal</t>
  </si>
  <si>
    <t xml:space="preserve">INTERIOR BUILD-OUT</t>
  </si>
  <si>
    <t xml:space="preserve">Production Facilities</t>
  </si>
  <si>
    <t xml:space="preserve">Video, broadcast</t>
  </si>
  <si>
    <t xml:space="preserve">Office/Operations</t>
  </si>
  <si>
    <t xml:space="preserve">Visitor Center</t>
  </si>
  <si>
    <t xml:space="preserve">Atrium, exhibits</t>
  </si>
  <si>
    <t xml:space="preserve">Technology Infrastructure</t>
  </si>
  <si>
    <t xml:space="preserve">Network, servers</t>
  </si>
  <si>
    <t xml:space="preserve">Furniture/Equipment</t>
  </si>
  <si>
    <t xml:space="preserve">Interior Subtotal</t>
  </si>
  <si>
    <t xml:space="preserve">DISPLAY INFRASTRUCTURE</t>
  </si>
  <si>
    <t xml:space="preserve">LED Mesh/Panels</t>
  </si>
  <si>
    <t xml:space="preserve">13 terraces</t>
  </si>
  <si>
    <t xml:space="preserve">Structural Mounting</t>
  </si>
  <si>
    <t xml:space="preserve">Engineering</t>
  </si>
  <si>
    <t xml:space="preserve">Power Infrastructure</t>
  </si>
  <si>
    <t xml:space="preserve">Significant load</t>
  </si>
  <si>
    <t xml:space="preserve">Control Systems</t>
  </si>
  <si>
    <t xml:space="preserve">Software, hardware</t>
  </si>
  <si>
    <t xml:space="preserve">Installation</t>
  </si>
  <si>
    <t xml:space="preserve">Complex job</t>
  </si>
  <si>
    <t xml:space="preserve">Display Subtotal</t>
  </si>
  <si>
    <t xml:space="preserve">SITE &amp; PARKING</t>
  </si>
  <si>
    <t xml:space="preserve">Landscaping Restoration</t>
  </si>
  <si>
    <t xml:space="preserve">Parking Repairs</t>
  </si>
  <si>
    <t xml:space="preserve">Security Infrastructure</t>
  </si>
  <si>
    <t xml:space="preserve">Site Subtotal</t>
  </si>
  <si>
    <t xml:space="preserve">TOTALS</t>
  </si>
  <si>
    <t xml:space="preserve">Hard Costs Subtotal</t>
  </si>
  <si>
    <t xml:space="preserve">Contingency (20%)</t>
  </si>
  <si>
    <t xml:space="preserve">Soft Costs (10%)</t>
  </si>
  <si>
    <t xml:space="preserve">TOTAL CAPITAL REQUIRED</t>
  </si>
  <si>
    <t xml:space="preserve">ANNUAL OPERATING BUDGET</t>
  </si>
  <si>
    <t xml:space="preserve">Utilities</t>
  </si>
  <si>
    <t xml:space="preserve">Display infrastructure is power-hungry</t>
  </si>
  <si>
    <t xml:space="preserve">Maintenance</t>
  </si>
  <si>
    <t xml:space="preserve">Building + displays</t>
  </si>
  <si>
    <t xml:space="preserve">Security</t>
  </si>
  <si>
    <t xml:space="preserve">24/7 coverage</t>
  </si>
  <si>
    <t xml:space="preserve">Insurance</t>
  </si>
  <si>
    <t xml:space="preserve">Property Tax</t>
  </si>
  <si>
    <t xml:space="preserve">Depends on exemptions</t>
  </si>
  <si>
    <t xml:space="preserve">Content Production</t>
  </si>
  <si>
    <t xml:space="preserve">Ongoing lessons</t>
  </si>
  <si>
    <t xml:space="preserve">Technology/IT</t>
  </si>
  <si>
    <t xml:space="preserve">Staff - Facility</t>
  </si>
  <si>
    <t xml:space="preserve">50-75 FTE</t>
  </si>
  <si>
    <t xml:space="preserve">Staff - Content/Ops</t>
  </si>
  <si>
    <t xml:space="preserve">75-100 FTE</t>
  </si>
  <si>
    <t xml:space="preserve">TOTAL ANNUAL OPERATING</t>
  </si>
  <si>
    <t xml:space="preserve">ENDOWMENT CALCULATION</t>
  </si>
  <si>
    <t xml:space="preserve">Target Annual Draw Rate</t>
  </si>
  <si>
    <t xml:space="preserve">Required Endowment (based on mid-point operating)</t>
  </si>
  <si>
    <t xml:space="preserve">FUNDING SOURCES</t>
  </si>
  <si>
    <t xml:space="preserve">Source</t>
  </si>
  <si>
    <t xml:space="preserve">Target ($M)</t>
  </si>
  <si>
    <t xml:space="preserve">Status</t>
  </si>
  <si>
    <t xml:space="preserve">CAPITAL FUNDING</t>
  </si>
  <si>
    <t xml:space="preserve">Not started</t>
  </si>
  <si>
    <t xml:space="preserve">Long-term, patient capital</t>
  </si>
  <si>
    <t xml:space="preserve">Display technology partner</t>
  </si>
  <si>
    <t xml:space="preserve">Education, workforce</t>
  </si>
  <si>
    <t xml:space="preserve">Mission-aligned investors</t>
  </si>
  <si>
    <t xml:space="preserve">Multi-year campaign</t>
  </si>
  <si>
    <t xml:space="preserve">TOTAL FUNDING TARGET</t>
  </si>
  <si>
    <t xml:space="preserve">OPERATING FUNDING (ANNUAL)</t>
  </si>
  <si>
    <t xml:space="preserve">Foundation Operating Grants</t>
  </si>
  <si>
    <t xml:space="preserve">Recurring</t>
  </si>
  <si>
    <t xml:space="preserve">Multi-year commitments</t>
  </si>
  <si>
    <t xml:space="preserve">Corporate Sponsorship</t>
  </si>
  <si>
    <t xml:space="preserve">Display time, naming</t>
  </si>
  <si>
    <t xml:space="preserve">Earned Revenue</t>
  </si>
  <si>
    <t xml:space="preserve">Events, tours, licensing</t>
  </si>
  <si>
    <t xml:space="preserve">Government Contracts</t>
  </si>
  <si>
    <t xml:space="preserve">Educational services</t>
  </si>
  <si>
    <t xml:space="preserve">Endowment Draw</t>
  </si>
  <si>
    <t xml:space="preserve">From $200M endowment @ 4%</t>
  </si>
  <si>
    <t xml:space="preserve">TOTAL OPERATING FUNDING</t>
  </si>
  <si>
    <t xml:space="preserve">PROJECT TIMELINE</t>
  </si>
  <si>
    <t xml:space="preserve">Milestone</t>
  </si>
  <si>
    <t xml:space="preserve">Target</t>
  </si>
  <si>
    <t xml:space="preserve">Dependencies</t>
  </si>
  <si>
    <t xml:space="preserve">Phase 0: Preparation</t>
  </si>
  <si>
    <t xml:space="preserve">Engage attorney</t>
  </si>
  <si>
    <t xml:space="preserve">Week 1</t>
  </si>
  <si>
    <t xml:space="preserve">Form LLCs</t>
  </si>
  <si>
    <t xml:space="preserve">Week 2-3</t>
  </si>
  <si>
    <t xml:space="preserve">Attorney</t>
  </si>
  <si>
    <t xml:space="preserve">Intelligence gathering</t>
  </si>
  <si>
    <t xml:space="preserve">Week 2-4</t>
  </si>
  <si>
    <t xml:space="preserve">FOIA request submitted</t>
  </si>
  <si>
    <t xml:space="preserve">Week 2</t>
  </si>
  <si>
    <t xml:space="preserve">Phase 1: Quiet Outreach</t>
  </si>
  <si>
    <t xml:space="preserve">GSA initial contact</t>
  </si>
  <si>
    <t xml:space="preserve">Month 2</t>
  </si>
  <si>
    <t xml:space="preserve">Entities formed</t>
  </si>
  <si>
    <t xml:space="preserve">Nonprofit structure decision</t>
  </si>
  <si>
    <t xml:space="preserve">Legal advice</t>
  </si>
  <si>
    <t xml:space="preserve">Foundation research complete</t>
  </si>
  <si>
    <t xml:space="preserve">Month 3</t>
  </si>
  <si>
    <t xml:space="preserve">Phase 2: Engagement</t>
  </si>
  <si>
    <t xml:space="preserve">GSA letter of interest</t>
  </si>
  <si>
    <t xml:space="preserve">Month 4</t>
  </si>
  <si>
    <t xml:space="preserve">GSA receptive</t>
  </si>
  <si>
    <t xml:space="preserve">Foundation meetings begin</t>
  </si>
  <si>
    <t xml:space="preserve">Materials ready</t>
  </si>
  <si>
    <t xml:space="preserve">Due diligence (if GSA engaged)</t>
  </si>
  <si>
    <t xml:space="preserve">Month 5-6</t>
  </si>
  <si>
    <t xml:space="preserve">GSA engagement</t>
  </si>
  <si>
    <t xml:space="preserve">Phase 3: Commitment</t>
  </si>
  <si>
    <t xml:space="preserve">GSA terms finalized</t>
  </si>
  <si>
    <t xml:space="preserve">Month 8</t>
  </si>
  <si>
    <t xml:space="preserve">Due diligence complete</t>
  </si>
  <si>
    <t xml:space="preserve">Lead foundation commitment</t>
  </si>
  <si>
    <t xml:space="preserve">Month 9</t>
  </si>
  <si>
    <t xml:space="preserve">GSA path clear</t>
  </si>
  <si>
    <t xml:space="preserve">Transaction close</t>
  </si>
  <si>
    <t xml:space="preserve">Month 12</t>
  </si>
  <si>
    <t xml:space="preserve">Funding committed</t>
  </si>
  <si>
    <t xml:space="preserve">Public announcement</t>
  </si>
  <si>
    <t xml:space="preserve">Deal closed</t>
  </si>
  <si>
    <t xml:space="preserve">Phase 4: Transformation</t>
  </si>
  <si>
    <t xml:space="preserve">Remediation begins</t>
  </si>
  <si>
    <t xml:space="preserve">Month 15</t>
  </si>
  <si>
    <t xml:space="preserve">Ownership</t>
  </si>
  <si>
    <t xml:space="preserve">Display design finalized</t>
  </si>
  <si>
    <t xml:space="preserve">Month 18</t>
  </si>
  <si>
    <t xml:space="preserve">Core systems online</t>
  </si>
  <si>
    <t xml:space="preserve">Month 24</t>
  </si>
  <si>
    <t xml:space="preserve">Display installation</t>
  </si>
  <si>
    <t xml:space="preserve">Month 30</t>
  </si>
  <si>
    <t xml:space="preserve">Soft opening</t>
  </si>
  <si>
    <t xml:space="preserve">Month 34</t>
  </si>
  <si>
    <t xml:space="preserve">Grand opening</t>
  </si>
  <si>
    <t xml:space="preserve">Month 36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</si>
</sst>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%"/>
    <numFmt numFmtId="167" formatCode="\$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93B"/>
      <name val="Cambria"/>
      <family val="0"/>
      <charset val="1"/>
    </font>
    <font>
      <b val="true"/>
      <sz val="11"/>
      <color rgb="FFEF4444"/>
      <name val="Cambria"/>
      <family val="0"/>
      <charset val="1"/>
    </font>
    <font>
      <b val="true"/>
      <sz val="11"/>
      <color rgb="FF1E293B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1F5F9"/>
        <bgColor rgb="FFFFFFFF"/>
      </patternFill>
    </fill>
    <fill>
      <patternFill patternType="solid">
        <fgColor rgb="FF3B82F6"/>
        <bgColor rgb="FF0066CC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1F5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EF4444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8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0" t="s">
        <v>4</v>
      </c>
      <c r="B6" s="4" t="n">
        <f aca="false">Capital!B36</f>
        <v>190</v>
      </c>
      <c r="C6" s="5" t="s">
        <v>5</v>
      </c>
    </row>
    <row r="7" customFormat="false" ht="15" hidden="false" customHeight="false" outlineLevel="0" collapsed="false">
      <c r="A7" s="0" t="s">
        <v>6</v>
      </c>
      <c r="B7" s="4" t="n">
        <f aca="false">Operating!B21</f>
        <v>0</v>
      </c>
      <c r="C7" s="5" t="s">
        <v>5</v>
      </c>
    </row>
    <row r="8" customFormat="false" ht="15" hidden="false" customHeight="false" outlineLevel="0" collapsed="false">
      <c r="A8" s="0" t="s">
        <v>7</v>
      </c>
      <c r="B8" s="4" t="n">
        <f aca="false">Operating!B21/0.05</f>
        <v>0</v>
      </c>
      <c r="C8" s="5" t="s">
        <v>5</v>
      </c>
    </row>
    <row r="9" customFormat="false" ht="15" hidden="false" customHeight="false" outlineLevel="0" collapsed="false">
      <c r="A9" s="0" t="s">
        <v>8</v>
      </c>
      <c r="B9" s="4" t="n">
        <f aca="false">B6+B8</f>
        <v>190</v>
      </c>
      <c r="C9" s="5" t="s">
        <v>5</v>
      </c>
    </row>
    <row r="11" customFormat="false" ht="15" hidden="false" customHeight="false" outlineLevel="0" collapsed="false">
      <c r="A11" s="0" t="s">
        <v>9</v>
      </c>
      <c r="B11" s="4" t="n">
        <f aca="false">Scenarios!C8</f>
        <v>0</v>
      </c>
      <c r="C11" s="5" t="s">
        <v>5</v>
      </c>
    </row>
    <row r="12" customFormat="false" ht="15" hidden="false" customHeight="false" outlineLevel="0" collapsed="false">
      <c r="A12" s="0" t="s">
        <v>10</v>
      </c>
      <c r="B12" s="4" t="n">
        <f aca="false">Capital!B14</f>
        <v>20</v>
      </c>
      <c r="C12" s="5" t="s">
        <v>5</v>
      </c>
    </row>
    <row r="13" customFormat="false" ht="15" hidden="false" customHeight="false" outlineLevel="0" collapsed="false">
      <c r="A13" s="0" t="s">
        <v>11</v>
      </c>
      <c r="B13" s="4" t="n">
        <f aca="false">Capital!B24</f>
        <v>15</v>
      </c>
      <c r="C13" s="5" t="s">
        <v>5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0" t="s">
        <v>13</v>
      </c>
      <c r="B18" s="4" t="n">
        <f aca="false">Funding!B7</f>
        <v>60</v>
      </c>
      <c r="C18" s="5" t="s">
        <v>5</v>
      </c>
    </row>
    <row r="19" customFormat="false" ht="15" hidden="false" customHeight="false" outlineLevel="0" collapsed="false">
      <c r="A19" s="0" t="s">
        <v>14</v>
      </c>
      <c r="B19" s="4" t="n">
        <f aca="false">Funding!B8</f>
        <v>125</v>
      </c>
      <c r="C19" s="5" t="s">
        <v>5</v>
      </c>
    </row>
    <row r="20" customFormat="false" ht="15" hidden="false" customHeight="false" outlineLevel="0" collapsed="false">
      <c r="A20" s="0" t="s">
        <v>15</v>
      </c>
      <c r="B20" s="4" t="n">
        <f aca="false">Funding!B9</f>
        <v>200</v>
      </c>
      <c r="C20" s="5" t="s">
        <v>5</v>
      </c>
    </row>
    <row r="21" customFormat="false" ht="15" hidden="false" customHeight="false" outlineLevel="0" collapsed="false">
      <c r="A21" s="0" t="s">
        <v>16</v>
      </c>
      <c r="B21" s="4" t="n">
        <f aca="false">Funding!B10</f>
        <v>0</v>
      </c>
      <c r="C21" s="5" t="s">
        <v>5</v>
      </c>
    </row>
    <row r="22" customFormat="false" ht="15" hidden="false" customHeight="false" outlineLevel="0" collapsed="false">
      <c r="A22" s="0" t="s">
        <v>17</v>
      </c>
      <c r="B22" s="4" t="n">
        <f aca="false">Funding!B11</f>
        <v>860</v>
      </c>
      <c r="C22" s="5" t="s">
        <v>5</v>
      </c>
    </row>
    <row r="23" customFormat="false" ht="15" hidden="false" customHeight="false" outlineLevel="0" collapsed="false">
      <c r="A23" s="6" t="s">
        <v>18</v>
      </c>
      <c r="B23" s="7" t="n">
        <f aca="false">SUM(B18:B22)</f>
        <v>1245</v>
      </c>
      <c r="C23" s="5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19</v>
      </c>
    </row>
    <row r="3" customFormat="false" ht="15" hidden="false" customHeight="false" outlineLevel="0" collapsed="false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</row>
    <row r="4" customFormat="false" ht="15" hidden="false" customHeight="false" outlineLevel="0" collapsed="false">
      <c r="A4" s="0" t="s">
        <v>25</v>
      </c>
      <c r="B4" s="9" t="n">
        <v>0</v>
      </c>
      <c r="C4" s="10" t="n">
        <v>0.3</v>
      </c>
      <c r="D4" s="4" t="n">
        <f aca="false">B4*C4</f>
        <v>0</v>
      </c>
      <c r="E4" s="5" t="s">
        <v>26</v>
      </c>
    </row>
    <row r="5" customFormat="false" ht="15" hidden="false" customHeight="false" outlineLevel="0" collapsed="false">
      <c r="A5" s="0" t="s">
        <v>27</v>
      </c>
      <c r="B5" s="9" t="n">
        <v>35</v>
      </c>
      <c r="C5" s="10" t="n">
        <v>0.35</v>
      </c>
      <c r="D5" s="4" t="n">
        <f aca="false">B5*C5</f>
        <v>12.25</v>
      </c>
      <c r="E5" s="5" t="s">
        <v>28</v>
      </c>
    </row>
    <row r="6" customFormat="false" ht="15" hidden="false" customHeight="false" outlineLevel="0" collapsed="false">
      <c r="A6" s="0" t="s">
        <v>29</v>
      </c>
      <c r="B6" s="9" t="n">
        <v>100</v>
      </c>
      <c r="C6" s="10" t="n">
        <v>0.2</v>
      </c>
      <c r="D6" s="4" t="n">
        <f aca="false">B6*C6</f>
        <v>20</v>
      </c>
      <c r="E6" s="5" t="s">
        <v>30</v>
      </c>
    </row>
    <row r="7" customFormat="false" ht="15" hidden="false" customHeight="false" outlineLevel="0" collapsed="false">
      <c r="A7" s="0" t="s">
        <v>31</v>
      </c>
      <c r="B7" s="9" t="n">
        <v>180</v>
      </c>
      <c r="C7" s="10" t="n">
        <v>0.15</v>
      </c>
      <c r="D7" s="4" t="n">
        <f aca="false">B7*C7</f>
        <v>27</v>
      </c>
      <c r="E7" s="5" t="s">
        <v>32</v>
      </c>
    </row>
    <row r="8" customFormat="false" ht="15" hidden="false" customHeight="false" outlineLevel="0" collapsed="false">
      <c r="A8" s="6" t="s">
        <v>33</v>
      </c>
      <c r="D8" s="11" t="n">
        <f aca="false">SUM(D4:D7)</f>
        <v>59.25</v>
      </c>
    </row>
    <row r="10" customFormat="false" ht="15" hidden="false" customHeight="false" outlineLevel="0" collapsed="false">
      <c r="A10" s="3" t="s">
        <v>34</v>
      </c>
    </row>
    <row r="11" customFormat="false" ht="15" hidden="false" customHeight="false" outlineLevel="0" collapsed="false">
      <c r="A11" s="0" t="s">
        <v>35</v>
      </c>
      <c r="B11" s="0" t="s">
        <v>27</v>
      </c>
    </row>
    <row r="12" customFormat="false" ht="15" hidden="false" customHeight="false" outlineLevel="0" collapsed="false">
      <c r="A12" s="0" t="s">
        <v>36</v>
      </c>
      <c r="B12" s="9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5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1" t="s">
        <v>37</v>
      </c>
    </row>
    <row r="3" customFormat="false" ht="15" hidden="false" customHeight="false" outlineLevel="0" collapsed="false">
      <c r="A3" s="8" t="s">
        <v>38</v>
      </c>
      <c r="B3" s="8" t="s">
        <v>39</v>
      </c>
      <c r="C3" s="8" t="s">
        <v>40</v>
      </c>
      <c r="D3" s="8" t="s">
        <v>24</v>
      </c>
    </row>
    <row r="4" customFormat="false" ht="15" hidden="false" customHeight="false" outlineLevel="0" collapsed="false">
      <c r="A4" s="12" t="s">
        <v>41</v>
      </c>
      <c r="B4" s="12"/>
      <c r="C4" s="12"/>
      <c r="D4" s="12"/>
    </row>
    <row r="5" customFormat="false" ht="15" hidden="false" customHeight="false" outlineLevel="0" collapsed="false">
      <c r="A5" s="0" t="s">
        <v>42</v>
      </c>
      <c r="B5" s="13" t="n">
        <v>0</v>
      </c>
      <c r="C5" s="13" t="n">
        <v>50</v>
      </c>
      <c r="D5" s="5" t="s">
        <v>43</v>
      </c>
    </row>
    <row r="6" customFormat="false" ht="15" hidden="false" customHeight="false" outlineLevel="0" collapsed="false">
      <c r="A6" s="0" t="s">
        <v>44</v>
      </c>
      <c r="B6" s="13" t="n">
        <v>0.5</v>
      </c>
      <c r="C6" s="13" t="n">
        <v>1</v>
      </c>
      <c r="D6" s="5" t="s">
        <v>45</v>
      </c>
    </row>
    <row r="7" customFormat="false" ht="15" hidden="false" customHeight="false" outlineLevel="0" collapsed="false">
      <c r="A7" s="0" t="s">
        <v>46</v>
      </c>
      <c r="B7" s="13" t="n">
        <v>1</v>
      </c>
      <c r="C7" s="13" t="n">
        <v>2</v>
      </c>
      <c r="D7" s="5" t="s">
        <v>47</v>
      </c>
    </row>
    <row r="8" customFormat="false" ht="15" hidden="false" customHeight="false" outlineLevel="0" collapsed="false">
      <c r="A8" s="6" t="s">
        <v>48</v>
      </c>
      <c r="B8" s="14" t="n">
        <f aca="false">SUM(B5:B7)</f>
        <v>1.5</v>
      </c>
      <c r="C8" s="14" t="n">
        <f aca="false">SUM(C5:C7)</f>
        <v>53</v>
      </c>
    </row>
    <row r="10" customFormat="false" ht="15" hidden="false" customHeight="false" outlineLevel="0" collapsed="false">
      <c r="A10" s="12" t="s">
        <v>49</v>
      </c>
      <c r="B10" s="12"/>
      <c r="C10" s="12"/>
      <c r="D10" s="12"/>
    </row>
    <row r="11" customFormat="false" ht="15" hidden="false" customHeight="false" outlineLevel="0" collapsed="false">
      <c r="A11" s="0" t="s">
        <v>50</v>
      </c>
      <c r="B11" s="9" t="n">
        <v>20</v>
      </c>
      <c r="C11" s="9" t="n">
        <v>40</v>
      </c>
      <c r="D11" s="5" t="s">
        <v>51</v>
      </c>
    </row>
    <row r="12" customFormat="false" ht="15" hidden="false" customHeight="false" outlineLevel="0" collapsed="false">
      <c r="A12" s="0" t="s">
        <v>52</v>
      </c>
      <c r="B12" s="9" t="n">
        <v>30</v>
      </c>
      <c r="C12" s="9" t="n">
        <v>50</v>
      </c>
      <c r="D12" s="5" t="s">
        <v>53</v>
      </c>
    </row>
    <row r="13" customFormat="false" ht="15" hidden="false" customHeight="false" outlineLevel="0" collapsed="false">
      <c r="A13" s="0" t="s">
        <v>54</v>
      </c>
      <c r="B13" s="9" t="n">
        <v>15</v>
      </c>
      <c r="C13" s="9" t="n">
        <v>25</v>
      </c>
    </row>
    <row r="14" customFormat="false" ht="15" hidden="false" customHeight="false" outlineLevel="0" collapsed="false">
      <c r="A14" s="0" t="s">
        <v>55</v>
      </c>
      <c r="B14" s="9" t="n">
        <v>20</v>
      </c>
      <c r="C14" s="9" t="n">
        <v>30</v>
      </c>
      <c r="D14" s="5" t="s">
        <v>56</v>
      </c>
    </row>
    <row r="15" customFormat="false" ht="15" hidden="false" customHeight="false" outlineLevel="0" collapsed="false">
      <c r="A15" s="0" t="s">
        <v>57</v>
      </c>
      <c r="B15" s="9" t="n">
        <v>10</v>
      </c>
      <c r="C15" s="9" t="n">
        <v>15</v>
      </c>
    </row>
    <row r="16" customFormat="false" ht="15" hidden="false" customHeight="false" outlineLevel="0" collapsed="false">
      <c r="A16" s="0" t="s">
        <v>58</v>
      </c>
      <c r="B16" s="9" t="n">
        <v>10</v>
      </c>
      <c r="C16" s="9" t="n">
        <v>15</v>
      </c>
      <c r="D16" s="5" t="s">
        <v>59</v>
      </c>
    </row>
    <row r="17" customFormat="false" ht="15" hidden="false" customHeight="false" outlineLevel="0" collapsed="false">
      <c r="A17" s="0" t="s">
        <v>60</v>
      </c>
      <c r="B17" s="9" t="n">
        <v>15</v>
      </c>
      <c r="C17" s="9" t="n">
        <v>20</v>
      </c>
    </row>
    <row r="18" customFormat="false" ht="15" hidden="false" customHeight="false" outlineLevel="0" collapsed="false">
      <c r="A18" s="0" t="s">
        <v>61</v>
      </c>
      <c r="B18" s="9" t="n">
        <v>10</v>
      </c>
      <c r="C18" s="9" t="n">
        <v>15</v>
      </c>
    </row>
    <row r="19" customFormat="false" ht="15" hidden="false" customHeight="false" outlineLevel="0" collapsed="false">
      <c r="A19" s="0" t="s">
        <v>62</v>
      </c>
      <c r="B19" s="9" t="n">
        <v>10</v>
      </c>
      <c r="C19" s="9" t="n">
        <v>20</v>
      </c>
      <c r="D19" s="5" t="s">
        <v>63</v>
      </c>
    </row>
    <row r="20" customFormat="false" ht="15" hidden="false" customHeight="false" outlineLevel="0" collapsed="false">
      <c r="A20" s="6" t="s">
        <v>64</v>
      </c>
      <c r="B20" s="4" t="n">
        <f aca="false">SUM(B11:B19)</f>
        <v>140</v>
      </c>
      <c r="C20" s="4" t="n">
        <f aca="false">SUM(C11:C19)</f>
        <v>230</v>
      </c>
    </row>
    <row r="22" customFormat="false" ht="15" hidden="false" customHeight="false" outlineLevel="0" collapsed="false">
      <c r="A22" s="12" t="s">
        <v>65</v>
      </c>
      <c r="B22" s="12"/>
      <c r="C22" s="12"/>
      <c r="D22" s="12"/>
    </row>
    <row r="23" customFormat="false" ht="15" hidden="false" customHeight="false" outlineLevel="0" collapsed="false">
      <c r="A23" s="0" t="s">
        <v>66</v>
      </c>
      <c r="B23" s="9" t="n">
        <v>20</v>
      </c>
      <c r="C23" s="9" t="n">
        <v>35</v>
      </c>
      <c r="D23" s="5" t="s">
        <v>67</v>
      </c>
    </row>
    <row r="24" customFormat="false" ht="15" hidden="false" customHeight="false" outlineLevel="0" collapsed="false">
      <c r="A24" s="0" t="s">
        <v>68</v>
      </c>
      <c r="B24" s="9" t="n">
        <v>15</v>
      </c>
      <c r="C24" s="9" t="n">
        <v>25</v>
      </c>
    </row>
    <row r="25" customFormat="false" ht="15" hidden="false" customHeight="false" outlineLevel="0" collapsed="false">
      <c r="A25" s="0" t="s">
        <v>69</v>
      </c>
      <c r="B25" s="9" t="n">
        <v>10</v>
      </c>
      <c r="C25" s="9" t="n">
        <v>20</v>
      </c>
      <c r="D25" s="5" t="s">
        <v>70</v>
      </c>
    </row>
    <row r="26" customFormat="false" ht="15" hidden="false" customHeight="false" outlineLevel="0" collapsed="false">
      <c r="A26" s="0" t="s">
        <v>71</v>
      </c>
      <c r="B26" s="9" t="n">
        <v>15</v>
      </c>
      <c r="C26" s="9" t="n">
        <v>25</v>
      </c>
      <c r="D26" s="5" t="s">
        <v>72</v>
      </c>
    </row>
    <row r="27" customFormat="false" ht="15" hidden="false" customHeight="false" outlineLevel="0" collapsed="false">
      <c r="A27" s="0" t="s">
        <v>73</v>
      </c>
      <c r="B27" s="9" t="n">
        <v>10</v>
      </c>
      <c r="C27" s="9" t="n">
        <v>15</v>
      </c>
    </row>
    <row r="28" customFormat="false" ht="15" hidden="false" customHeight="false" outlineLevel="0" collapsed="false">
      <c r="A28" s="6" t="s">
        <v>74</v>
      </c>
      <c r="B28" s="4" t="n">
        <f aca="false">SUM(B23:B27)</f>
        <v>70</v>
      </c>
      <c r="C28" s="4" t="n">
        <f aca="false">SUM(C23:C27)</f>
        <v>120</v>
      </c>
    </row>
    <row r="30" customFormat="false" ht="15" hidden="false" customHeight="false" outlineLevel="0" collapsed="false">
      <c r="A30" s="12" t="s">
        <v>75</v>
      </c>
      <c r="B30" s="12"/>
      <c r="C30" s="12"/>
      <c r="D30" s="12"/>
    </row>
    <row r="31" customFormat="false" ht="15" hidden="false" customHeight="false" outlineLevel="0" collapsed="false">
      <c r="A31" s="0" t="s">
        <v>76</v>
      </c>
      <c r="B31" s="9" t="n">
        <v>120</v>
      </c>
      <c r="C31" s="9" t="n">
        <v>250</v>
      </c>
      <c r="D31" s="5" t="s">
        <v>77</v>
      </c>
    </row>
    <row r="32" customFormat="false" ht="15" hidden="false" customHeight="false" outlineLevel="0" collapsed="false">
      <c r="A32" s="0" t="s">
        <v>78</v>
      </c>
      <c r="B32" s="9" t="n">
        <v>20</v>
      </c>
      <c r="C32" s="9" t="n">
        <v>40</v>
      </c>
      <c r="D32" s="5" t="s">
        <v>79</v>
      </c>
    </row>
    <row r="33" customFormat="false" ht="15" hidden="false" customHeight="false" outlineLevel="0" collapsed="false">
      <c r="A33" s="0" t="s">
        <v>80</v>
      </c>
      <c r="B33" s="9" t="n">
        <v>15</v>
      </c>
      <c r="C33" s="9" t="n">
        <v>30</v>
      </c>
      <c r="D33" s="5" t="s">
        <v>81</v>
      </c>
    </row>
    <row r="34" customFormat="false" ht="15" hidden="false" customHeight="false" outlineLevel="0" collapsed="false">
      <c r="A34" s="0" t="s">
        <v>82</v>
      </c>
      <c r="B34" s="9" t="n">
        <v>10</v>
      </c>
      <c r="C34" s="9" t="n">
        <v>20</v>
      </c>
      <c r="D34" s="5" t="s">
        <v>83</v>
      </c>
    </row>
    <row r="35" customFormat="false" ht="15" hidden="false" customHeight="false" outlineLevel="0" collapsed="false">
      <c r="A35" s="0" t="s">
        <v>84</v>
      </c>
      <c r="B35" s="9" t="n">
        <v>25</v>
      </c>
      <c r="C35" s="9" t="n">
        <v>50</v>
      </c>
      <c r="D35" s="5" t="s">
        <v>85</v>
      </c>
    </row>
    <row r="36" customFormat="false" ht="15" hidden="false" customHeight="false" outlineLevel="0" collapsed="false">
      <c r="A36" s="6" t="s">
        <v>86</v>
      </c>
      <c r="B36" s="4" t="n">
        <f aca="false">SUM(B31:B35)</f>
        <v>190</v>
      </c>
      <c r="C36" s="4" t="n">
        <f aca="false">SUM(C31:C35)</f>
        <v>390</v>
      </c>
    </row>
    <row r="38" customFormat="false" ht="15" hidden="false" customHeight="false" outlineLevel="0" collapsed="false">
      <c r="A38" s="12" t="s">
        <v>87</v>
      </c>
      <c r="B38" s="12"/>
      <c r="C38" s="12"/>
      <c r="D38" s="12"/>
    </row>
    <row r="39" customFormat="false" ht="15" hidden="false" customHeight="false" outlineLevel="0" collapsed="false">
      <c r="A39" s="0" t="s">
        <v>88</v>
      </c>
      <c r="B39" s="9" t="n">
        <v>5</v>
      </c>
      <c r="C39" s="9" t="n">
        <v>10</v>
      </c>
    </row>
    <row r="40" customFormat="false" ht="15" hidden="false" customHeight="false" outlineLevel="0" collapsed="false">
      <c r="A40" s="0" t="s">
        <v>89</v>
      </c>
      <c r="B40" s="9" t="n">
        <v>3</v>
      </c>
      <c r="C40" s="9" t="n">
        <v>5</v>
      </c>
    </row>
    <row r="41" customFormat="false" ht="15" hidden="false" customHeight="false" outlineLevel="0" collapsed="false">
      <c r="A41" s="0" t="s">
        <v>90</v>
      </c>
      <c r="B41" s="9" t="n">
        <v>2</v>
      </c>
      <c r="C41" s="9" t="n">
        <v>5</v>
      </c>
    </row>
    <row r="42" customFormat="false" ht="15" hidden="false" customHeight="false" outlineLevel="0" collapsed="false">
      <c r="A42" s="6" t="s">
        <v>91</v>
      </c>
      <c r="B42" s="4" t="n">
        <f aca="false">SUM(B39:B41)</f>
        <v>10</v>
      </c>
      <c r="C42" s="4" t="n">
        <f aca="false">SUM(C39:C41)</f>
        <v>20</v>
      </c>
    </row>
    <row r="44" customFormat="false" ht="15" hidden="false" customHeight="false" outlineLevel="0" collapsed="false">
      <c r="A44" s="12" t="s">
        <v>92</v>
      </c>
      <c r="B44" s="12"/>
      <c r="C44" s="12"/>
      <c r="D44" s="12"/>
    </row>
    <row r="45" customFormat="false" ht="15" hidden="false" customHeight="false" outlineLevel="0" collapsed="false">
      <c r="A45" s="0" t="s">
        <v>93</v>
      </c>
      <c r="B45" s="4" t="n">
        <f aca="false">B8+B20+B28+B36+B42</f>
        <v>411.5</v>
      </c>
      <c r="C45" s="4" t="n">
        <f aca="false">C8+C20+C28+C36+C42</f>
        <v>813</v>
      </c>
    </row>
    <row r="46" customFormat="false" ht="15" hidden="false" customHeight="false" outlineLevel="0" collapsed="false">
      <c r="A46" s="0" t="s">
        <v>94</v>
      </c>
      <c r="B46" s="4" t="n">
        <f aca="false">B45*0.2</f>
        <v>82.3</v>
      </c>
      <c r="C46" s="4" t="n">
        <f aca="false">C45*0.2</f>
        <v>162.6</v>
      </c>
    </row>
    <row r="47" customFormat="false" ht="15" hidden="false" customHeight="false" outlineLevel="0" collapsed="false">
      <c r="A47" s="0" t="s">
        <v>95</v>
      </c>
      <c r="B47" s="4" t="n">
        <f aca="false">B45*0.1</f>
        <v>41.15</v>
      </c>
      <c r="C47" s="4" t="n">
        <f aca="false">C45*0.1</f>
        <v>81.3</v>
      </c>
    </row>
    <row r="49" customFormat="false" ht="15" hidden="false" customHeight="false" outlineLevel="0" collapsed="false">
      <c r="A49" s="15" t="s">
        <v>96</v>
      </c>
      <c r="B49" s="16" t="n">
        <f aca="false">B45+B46+B47</f>
        <v>534.95</v>
      </c>
      <c r="C49" s="16" t="n">
        <f aca="false">C45+C46+C47</f>
        <v>1056.9</v>
      </c>
    </row>
  </sheetData>
  <mergeCells count="6">
    <mergeCell ref="A4:D4"/>
    <mergeCell ref="A10:D10"/>
    <mergeCell ref="A22:D22"/>
    <mergeCell ref="A30:D30"/>
    <mergeCell ref="A38:D38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5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1" t="s">
        <v>97</v>
      </c>
    </row>
    <row r="3" customFormat="false" ht="15" hidden="false" customHeight="false" outlineLevel="0" collapsed="false">
      <c r="A3" s="8" t="s">
        <v>38</v>
      </c>
      <c r="B3" s="8" t="s">
        <v>39</v>
      </c>
      <c r="C3" s="8" t="s">
        <v>40</v>
      </c>
      <c r="D3" s="8" t="s">
        <v>24</v>
      </c>
    </row>
    <row r="4" customFormat="false" ht="15" hidden="false" customHeight="false" outlineLevel="0" collapsed="false">
      <c r="A4" s="0" t="s">
        <v>98</v>
      </c>
      <c r="B4" s="13" t="n">
        <v>4</v>
      </c>
      <c r="C4" s="13" t="n">
        <v>6</v>
      </c>
      <c r="D4" s="5" t="s">
        <v>99</v>
      </c>
    </row>
    <row r="5" customFormat="false" ht="15" hidden="false" customHeight="false" outlineLevel="0" collapsed="false">
      <c r="A5" s="0" t="s">
        <v>100</v>
      </c>
      <c r="B5" s="13" t="n">
        <v>3</v>
      </c>
      <c r="C5" s="13" t="n">
        <v>4</v>
      </c>
      <c r="D5" s="5" t="s">
        <v>101</v>
      </c>
    </row>
    <row r="6" customFormat="false" ht="15" hidden="false" customHeight="false" outlineLevel="0" collapsed="false">
      <c r="A6" s="0" t="s">
        <v>102</v>
      </c>
      <c r="B6" s="13" t="n">
        <v>1.5</v>
      </c>
      <c r="C6" s="13" t="n">
        <v>2</v>
      </c>
      <c r="D6" s="5" t="s">
        <v>103</v>
      </c>
    </row>
    <row r="7" customFormat="false" ht="15" hidden="false" customHeight="false" outlineLevel="0" collapsed="false">
      <c r="A7" s="0" t="s">
        <v>104</v>
      </c>
      <c r="B7" s="13" t="n">
        <v>2</v>
      </c>
      <c r="C7" s="13" t="n">
        <v>3</v>
      </c>
    </row>
    <row r="8" customFormat="false" ht="15" hidden="false" customHeight="false" outlineLevel="0" collapsed="false">
      <c r="A8" s="0" t="s">
        <v>105</v>
      </c>
      <c r="B8" s="13" t="n">
        <v>0</v>
      </c>
      <c r="C8" s="13" t="n">
        <v>3</v>
      </c>
      <c r="D8" s="5" t="s">
        <v>106</v>
      </c>
    </row>
    <row r="9" customFormat="false" ht="15" hidden="false" customHeight="false" outlineLevel="0" collapsed="false">
      <c r="A9" s="0" t="s">
        <v>107</v>
      </c>
      <c r="B9" s="13" t="n">
        <v>5</v>
      </c>
      <c r="C9" s="13" t="n">
        <v>8</v>
      </c>
      <c r="D9" s="5" t="s">
        <v>108</v>
      </c>
    </row>
    <row r="10" customFormat="false" ht="15" hidden="false" customHeight="false" outlineLevel="0" collapsed="false">
      <c r="A10" s="0" t="s">
        <v>109</v>
      </c>
      <c r="B10" s="13" t="n">
        <v>2</v>
      </c>
      <c r="C10" s="13" t="n">
        <v>3</v>
      </c>
    </row>
    <row r="11" customFormat="false" ht="15" hidden="false" customHeight="false" outlineLevel="0" collapsed="false">
      <c r="A11" s="0" t="s">
        <v>110</v>
      </c>
      <c r="B11" s="13" t="n">
        <v>4</v>
      </c>
      <c r="C11" s="13" t="n">
        <v>5</v>
      </c>
      <c r="D11" s="5" t="s">
        <v>111</v>
      </c>
    </row>
    <row r="12" customFormat="false" ht="15" hidden="false" customHeight="false" outlineLevel="0" collapsed="false">
      <c r="A12" s="0" t="s">
        <v>112</v>
      </c>
      <c r="B12" s="13" t="n">
        <v>6</v>
      </c>
      <c r="C12" s="13" t="n">
        <v>8</v>
      </c>
      <c r="D12" s="5" t="s">
        <v>113</v>
      </c>
    </row>
    <row r="14" customFormat="false" ht="15" hidden="false" customHeight="false" outlineLevel="0" collapsed="false">
      <c r="A14" s="15" t="s">
        <v>114</v>
      </c>
      <c r="B14" s="17" t="n">
        <f aca="false">SUM(B4:B12)</f>
        <v>27.5</v>
      </c>
      <c r="C14" s="17" t="n">
        <f aca="false">SUM(C4:C12)</f>
        <v>42</v>
      </c>
    </row>
    <row r="17" customFormat="false" ht="15" hidden="false" customHeight="false" outlineLevel="0" collapsed="false">
      <c r="A17" s="3" t="s">
        <v>115</v>
      </c>
    </row>
    <row r="18" customFormat="false" ht="15" hidden="false" customHeight="false" outlineLevel="0" collapsed="false">
      <c r="A18" s="0" t="s">
        <v>116</v>
      </c>
      <c r="B18" s="10" t="n">
        <v>0.05</v>
      </c>
    </row>
    <row r="19" customFormat="false" ht="15" hidden="false" customHeight="false" outlineLevel="0" collapsed="false">
      <c r="A19" s="0" t="s">
        <v>117</v>
      </c>
      <c r="B19" s="4" t="n">
        <f aca="false">(B14+C14)/2/B18</f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5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1" t="s">
        <v>118</v>
      </c>
    </row>
    <row r="3" customFormat="false" ht="15" hidden="false" customHeight="false" outlineLevel="0" collapsed="false">
      <c r="A3" s="8" t="s">
        <v>119</v>
      </c>
      <c r="B3" s="8" t="s">
        <v>120</v>
      </c>
      <c r="C3" s="8" t="s">
        <v>121</v>
      </c>
      <c r="D3" s="8" t="s">
        <v>24</v>
      </c>
    </row>
    <row r="4" customFormat="false" ht="15" hidden="false" customHeight="false" outlineLevel="0" collapsed="false">
      <c r="A4" s="12" t="s">
        <v>122</v>
      </c>
      <c r="B4" s="12"/>
      <c r="C4" s="12"/>
      <c r="D4" s="12"/>
    </row>
    <row r="5" customFormat="false" ht="15" hidden="false" customHeight="false" outlineLevel="0" collapsed="false">
      <c r="A5" s="0" t="s">
        <v>13</v>
      </c>
      <c r="B5" s="9" t="n">
        <v>350</v>
      </c>
      <c r="C5" s="5" t="s">
        <v>123</v>
      </c>
      <c r="D5" s="5" t="s">
        <v>124</v>
      </c>
    </row>
    <row r="6" customFormat="false" ht="15" hidden="false" customHeight="false" outlineLevel="0" collapsed="false">
      <c r="A6" s="0" t="s">
        <v>14</v>
      </c>
      <c r="B6" s="9" t="n">
        <v>125</v>
      </c>
      <c r="C6" s="5" t="s">
        <v>123</v>
      </c>
      <c r="D6" s="5" t="s">
        <v>125</v>
      </c>
    </row>
    <row r="7" customFormat="false" ht="15" hidden="false" customHeight="false" outlineLevel="0" collapsed="false">
      <c r="A7" s="0" t="s">
        <v>15</v>
      </c>
      <c r="B7" s="9" t="n">
        <v>60</v>
      </c>
      <c r="C7" s="5" t="s">
        <v>123</v>
      </c>
      <c r="D7" s="5" t="s">
        <v>126</v>
      </c>
    </row>
    <row r="8" customFormat="false" ht="15" hidden="false" customHeight="false" outlineLevel="0" collapsed="false">
      <c r="A8" s="0" t="s">
        <v>16</v>
      </c>
      <c r="B8" s="9" t="n">
        <v>125</v>
      </c>
      <c r="C8" s="5" t="s">
        <v>123</v>
      </c>
      <c r="D8" s="5" t="s">
        <v>127</v>
      </c>
    </row>
    <row r="9" customFormat="false" ht="15" hidden="false" customHeight="false" outlineLevel="0" collapsed="false">
      <c r="A9" s="0" t="s">
        <v>17</v>
      </c>
      <c r="B9" s="9" t="n">
        <v>200</v>
      </c>
      <c r="C9" s="5" t="s">
        <v>123</v>
      </c>
      <c r="D9" s="5" t="s">
        <v>128</v>
      </c>
    </row>
    <row r="11" customFormat="false" ht="15" hidden="false" customHeight="false" outlineLevel="0" collapsed="false">
      <c r="A11" s="15" t="s">
        <v>129</v>
      </c>
      <c r="B11" s="16" t="n">
        <f aca="false">SUM(B5:B9)</f>
        <v>860</v>
      </c>
    </row>
    <row r="14" customFormat="false" ht="15" hidden="false" customHeight="false" outlineLevel="0" collapsed="false">
      <c r="A14" s="12" t="s">
        <v>130</v>
      </c>
      <c r="B14" s="12"/>
      <c r="C14" s="12"/>
      <c r="D14" s="12"/>
    </row>
    <row r="15" customFormat="false" ht="15" hidden="false" customHeight="false" outlineLevel="0" collapsed="false">
      <c r="A15" s="0" t="s">
        <v>131</v>
      </c>
      <c r="B15" s="9" t="n">
        <v>12</v>
      </c>
      <c r="C15" s="5" t="s">
        <v>132</v>
      </c>
      <c r="D15" s="5" t="s">
        <v>133</v>
      </c>
    </row>
    <row r="16" customFormat="false" ht="15" hidden="false" customHeight="false" outlineLevel="0" collapsed="false">
      <c r="A16" s="0" t="s">
        <v>134</v>
      </c>
      <c r="B16" s="9" t="n">
        <v>7</v>
      </c>
      <c r="C16" s="5" t="s">
        <v>132</v>
      </c>
      <c r="D16" s="5" t="s">
        <v>135</v>
      </c>
    </row>
    <row r="17" customFormat="false" ht="15" hidden="false" customHeight="false" outlineLevel="0" collapsed="false">
      <c r="A17" s="0" t="s">
        <v>136</v>
      </c>
      <c r="B17" s="9" t="n">
        <v>4</v>
      </c>
      <c r="C17" s="5" t="s">
        <v>132</v>
      </c>
      <c r="D17" s="5" t="s">
        <v>137</v>
      </c>
    </row>
    <row r="18" customFormat="false" ht="15" hidden="false" customHeight="false" outlineLevel="0" collapsed="false">
      <c r="A18" s="0" t="s">
        <v>138</v>
      </c>
      <c r="B18" s="9" t="n">
        <v>4</v>
      </c>
      <c r="C18" s="5" t="s">
        <v>132</v>
      </c>
      <c r="D18" s="5" t="s">
        <v>139</v>
      </c>
    </row>
    <row r="19" customFormat="false" ht="15" hidden="false" customHeight="false" outlineLevel="0" collapsed="false">
      <c r="A19" s="0" t="s">
        <v>140</v>
      </c>
      <c r="B19" s="9" t="n">
        <v>8</v>
      </c>
      <c r="C19" s="5" t="s">
        <v>132</v>
      </c>
      <c r="D19" s="5" t="s">
        <v>141</v>
      </c>
    </row>
    <row r="21" customFormat="false" ht="15" hidden="false" customHeight="false" outlineLevel="0" collapsed="false">
      <c r="A21" s="6" t="s">
        <v>142</v>
      </c>
      <c r="B21" s="11" t="n">
        <f aca="false">SUM(B15:B19)</f>
        <v>35</v>
      </c>
    </row>
  </sheetData>
  <mergeCells count="2">
    <mergeCell ref="A4:D4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143</v>
      </c>
    </row>
    <row r="3" customFormat="false" ht="15" hidden="false" customHeight="false" outlineLevel="0" collapsed="false">
      <c r="A3" s="8" t="s">
        <v>144</v>
      </c>
      <c r="B3" s="8" t="s">
        <v>145</v>
      </c>
      <c r="C3" s="8" t="s">
        <v>146</v>
      </c>
    </row>
    <row r="4" customFormat="false" ht="15" hidden="false" customHeight="false" outlineLevel="0" collapsed="false">
      <c r="A4" s="3" t="s">
        <v>147</v>
      </c>
    </row>
    <row r="5" customFormat="false" ht="15" hidden="false" customHeight="false" outlineLevel="0" collapsed="false">
      <c r="A5" s="0" t="s">
        <v>148</v>
      </c>
      <c r="B5" s="0" t="s">
        <v>149</v>
      </c>
    </row>
    <row r="6" customFormat="false" ht="15" hidden="false" customHeight="false" outlineLevel="0" collapsed="false">
      <c r="A6" s="0" t="s">
        <v>150</v>
      </c>
      <c r="B6" s="0" t="s">
        <v>151</v>
      </c>
      <c r="C6" s="0" t="s">
        <v>152</v>
      </c>
    </row>
    <row r="7" customFormat="false" ht="15" hidden="false" customHeight="false" outlineLevel="0" collapsed="false">
      <c r="A7" s="0" t="s">
        <v>153</v>
      </c>
      <c r="B7" s="0" t="s">
        <v>154</v>
      </c>
    </row>
    <row r="8" customFormat="false" ht="15" hidden="false" customHeight="false" outlineLevel="0" collapsed="false">
      <c r="A8" s="0" t="s">
        <v>155</v>
      </c>
      <c r="B8" s="0" t="s">
        <v>156</v>
      </c>
    </row>
    <row r="10" customFormat="false" ht="15" hidden="false" customHeight="false" outlineLevel="0" collapsed="false">
      <c r="A10" s="3" t="s">
        <v>157</v>
      </c>
    </row>
    <row r="11" customFormat="false" ht="15" hidden="false" customHeight="false" outlineLevel="0" collapsed="false">
      <c r="A11" s="0" t="s">
        <v>158</v>
      </c>
      <c r="B11" s="0" t="s">
        <v>159</v>
      </c>
      <c r="C11" s="0" t="s">
        <v>160</v>
      </c>
    </row>
    <row r="12" customFormat="false" ht="15" hidden="false" customHeight="false" outlineLevel="0" collapsed="false">
      <c r="A12" s="0" t="s">
        <v>161</v>
      </c>
      <c r="B12" s="0" t="s">
        <v>159</v>
      </c>
      <c r="C12" s="0" t="s">
        <v>162</v>
      </c>
    </row>
    <row r="13" customFormat="false" ht="15" hidden="false" customHeight="false" outlineLevel="0" collapsed="false">
      <c r="A13" s="0" t="s">
        <v>163</v>
      </c>
      <c r="B13" s="0" t="s">
        <v>164</v>
      </c>
    </row>
    <row r="15" customFormat="false" ht="15" hidden="false" customHeight="false" outlineLevel="0" collapsed="false">
      <c r="A15" s="3" t="s">
        <v>165</v>
      </c>
    </row>
    <row r="16" customFormat="false" ht="15" hidden="false" customHeight="false" outlineLevel="0" collapsed="false">
      <c r="A16" s="0" t="s">
        <v>166</v>
      </c>
      <c r="B16" s="0" t="s">
        <v>167</v>
      </c>
      <c r="C16" s="0" t="s">
        <v>168</v>
      </c>
    </row>
    <row r="17" customFormat="false" ht="15" hidden="false" customHeight="false" outlineLevel="0" collapsed="false">
      <c r="A17" s="0" t="s">
        <v>169</v>
      </c>
      <c r="B17" s="0" t="s">
        <v>167</v>
      </c>
      <c r="C17" s="0" t="s">
        <v>170</v>
      </c>
    </row>
    <row r="18" customFormat="false" ht="15" hidden="false" customHeight="false" outlineLevel="0" collapsed="false">
      <c r="A18" s="0" t="s">
        <v>171</v>
      </c>
      <c r="B18" s="0" t="s">
        <v>172</v>
      </c>
      <c r="C18" s="0" t="s">
        <v>173</v>
      </c>
    </row>
    <row r="20" customFormat="false" ht="15" hidden="false" customHeight="false" outlineLevel="0" collapsed="false">
      <c r="A20" s="3" t="s">
        <v>174</v>
      </c>
    </row>
    <row r="21" customFormat="false" ht="15" hidden="false" customHeight="false" outlineLevel="0" collapsed="false">
      <c r="A21" s="0" t="s">
        <v>175</v>
      </c>
      <c r="B21" s="0" t="s">
        <v>176</v>
      </c>
      <c r="C21" s="0" t="s">
        <v>177</v>
      </c>
    </row>
    <row r="22" customFormat="false" ht="15" hidden="false" customHeight="false" outlineLevel="0" collapsed="false">
      <c r="A22" s="0" t="s">
        <v>178</v>
      </c>
      <c r="B22" s="0" t="s">
        <v>179</v>
      </c>
      <c r="C22" s="0" t="s">
        <v>180</v>
      </c>
    </row>
    <row r="23" customFormat="false" ht="15" hidden="false" customHeight="false" outlineLevel="0" collapsed="false">
      <c r="A23" s="0" t="s">
        <v>181</v>
      </c>
      <c r="B23" s="0" t="s">
        <v>182</v>
      </c>
      <c r="C23" s="0" t="s">
        <v>183</v>
      </c>
    </row>
    <row r="24" customFormat="false" ht="15" hidden="false" customHeight="false" outlineLevel="0" collapsed="false">
      <c r="A24" s="0" t="s">
        <v>184</v>
      </c>
      <c r="B24" s="0" t="s">
        <v>182</v>
      </c>
      <c r="C24" s="0" t="s">
        <v>185</v>
      </c>
    </row>
    <row r="26" customFormat="false" ht="15" hidden="false" customHeight="false" outlineLevel="0" collapsed="false">
      <c r="A26" s="3" t="s">
        <v>186</v>
      </c>
    </row>
    <row r="27" customFormat="false" ht="15" hidden="false" customHeight="false" outlineLevel="0" collapsed="false">
      <c r="A27" s="0" t="s">
        <v>187</v>
      </c>
      <c r="B27" s="0" t="s">
        <v>188</v>
      </c>
      <c r="C27" s="0" t="s">
        <v>189</v>
      </c>
    </row>
    <row r="28" customFormat="false" ht="15" hidden="false" customHeight="false" outlineLevel="0" collapsed="false">
      <c r="A28" s="0" t="s">
        <v>190</v>
      </c>
      <c r="B28" s="0" t="s">
        <v>191</v>
      </c>
    </row>
    <row r="29" customFormat="false" ht="15" hidden="false" customHeight="false" outlineLevel="0" collapsed="false">
      <c r="A29" s="0" t="s">
        <v>192</v>
      </c>
      <c r="B29" s="0" t="s">
        <v>193</v>
      </c>
    </row>
    <row r="30" customFormat="false" ht="15" hidden="false" customHeight="false" outlineLevel="0" collapsed="false">
      <c r="A30" s="0" t="s">
        <v>194</v>
      </c>
      <c r="B30" s="0" t="s">
        <v>195</v>
      </c>
    </row>
    <row r="31" customFormat="false" ht="15" hidden="false" customHeight="false" outlineLevel="0" collapsed="false">
      <c r="A31" s="0" t="s">
        <v>196</v>
      </c>
      <c r="B31" s="0" t="s">
        <v>197</v>
      </c>
    </row>
    <row r="32" customFormat="false" ht="15" hidden="false" customHeight="false" outlineLevel="0" collapsed="false">
      <c r="A32" s="0" t="s">
        <v>198</v>
      </c>
      <c r="B32" s="0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2026-01-24T05:06:38Z</dcterms:created>
  <dc:creator>openpyxl</dc:creator>
  <dc:description/>
  <dc:language>en-US</dc:language>
  <cp:lastModifiedBy/>
  <dcterms:modified xsi:type="dcterms:W3CDTF">2026-01-24T05:06:38Z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